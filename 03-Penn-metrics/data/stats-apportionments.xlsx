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xr:revisionPtr revIDLastSave="0" documentId="8_{1882BD0A-A127-4EF4-94AC-60A1F025B807}" xr6:coauthVersionLast="47" xr6:coauthVersionMax="47" xr10:uidLastSave="{00000000-0000-0000-0000-000000000000}"/>
  <bookViews>
    <workbookView xWindow="-108" yWindow="-108" windowWidth="23256" windowHeight="13896" xr2:uid="{8F92B4E2-2268-4A39-8EB4-90F7D9E2F6CC}"/>
  </bookViews>
  <sheets>
    <sheet name="STATSemplAppts" sheetId="1" r:id="rId1"/>
  </sheets>
  <definedNames>
    <definedName name="_xlnm._FilterDatabase" localSheetId="0" hidden="1">STATSemplAppts!$S$2:$AC$16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P16" i="1"/>
  <c r="Y15" i="1"/>
  <c r="P15" i="1"/>
  <c r="Y14" i="1"/>
  <c r="P14" i="1"/>
  <c r="Y13" i="1"/>
  <c r="P13" i="1"/>
  <c r="Y12" i="1"/>
  <c r="P12" i="1"/>
  <c r="P11" i="1"/>
  <c r="P10" i="1"/>
  <c r="Y9" i="1"/>
  <c r="P9" i="1"/>
  <c r="Y8" i="1"/>
  <c r="P8" i="1"/>
  <c r="Y7" i="1"/>
  <c r="P7" i="1"/>
  <c r="Y6" i="1"/>
  <c r="P6" i="1"/>
  <c r="Y5" i="1"/>
  <c r="P5" i="1"/>
  <c r="Y4" i="1"/>
  <c r="P4" i="1"/>
  <c r="Y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tc={16E2B1D8-1FC7-42C7-B4CA-121AB68EF562}</author>
    <author>tc={5A4F72B5-50E4-42E6-87D1-122F1C17C57F}</author>
  </authors>
  <commentList>
    <comment ref="B12" authorId="0" shapeId="0" xr:uid="{16E2B1D8-1FC7-42C7-B4CA-121AB68EF56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job?  Is appt right?</t>
      </text>
    </comment>
    <comment ref="A21" authorId="1" shapeId="0" xr:uid="{5A4F72B5-50E4-42E6-87D1-122F1C17C5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She has split appoint with 4-h and stats...she is listed on the Ext page, but Bert feels she should be listed here…
</t>
      </text>
    </comment>
  </commentList>
</comments>
</file>

<file path=xl/sharedStrings.xml><?xml version="1.0" encoding="utf-8"?>
<sst xmlns="http://schemas.openxmlformats.org/spreadsheetml/2006/main" count="163" uniqueCount="85">
  <si>
    <t>Added 2024</t>
  </si>
  <si>
    <t>Updated Data</t>
  </si>
  <si>
    <t>Most Recent LOO or PD</t>
  </si>
  <si>
    <t>2024-25 Activity Insight</t>
  </si>
  <si>
    <t>Employee Name Last</t>
  </si>
  <si>
    <t>Employee Name First</t>
  </si>
  <si>
    <t>Employee Id</t>
  </si>
  <si>
    <t>Job Name (group)</t>
  </si>
  <si>
    <t>Job Name</t>
  </si>
  <si>
    <t>Primary Org Unit Name</t>
  </si>
  <si>
    <t>Appt Begin Date</t>
  </si>
  <si>
    <t>Appt FTE</t>
  </si>
  <si>
    <t>Date</t>
  </si>
  <si>
    <t>Document</t>
  </si>
  <si>
    <t>T</t>
  </si>
  <si>
    <t>R</t>
  </si>
  <si>
    <t>E</t>
  </si>
  <si>
    <t>S</t>
  </si>
  <si>
    <t>A</t>
  </si>
  <si>
    <t>TOTAL</t>
  </si>
  <si>
    <t>NOTES</t>
  </si>
  <si>
    <t>FTE</t>
  </si>
  <si>
    <t>Confirmed</t>
  </si>
  <si>
    <t>2022 Notes</t>
  </si>
  <si>
    <t>Confirmed Date</t>
  </si>
  <si>
    <t>Confirmed by</t>
  </si>
  <si>
    <t>Bhattacharya</t>
  </si>
  <si>
    <t>Bhaskar</t>
  </si>
  <si>
    <t>243045</t>
  </si>
  <si>
    <t>Tenure line</t>
  </si>
  <si>
    <t>Department Head</t>
  </si>
  <si>
    <t>IANR STATS</t>
  </si>
  <si>
    <t>7/1/2024</t>
  </si>
  <si>
    <t>LOO</t>
  </si>
  <si>
    <t>x</t>
  </si>
  <si>
    <t>MS</t>
  </si>
  <si>
    <t>Bilder</t>
  </si>
  <si>
    <t>Christopher R</t>
  </si>
  <si>
    <t>Professor</t>
  </si>
  <si>
    <t>Statistics</t>
  </si>
  <si>
    <t>PD</t>
  </si>
  <si>
    <t>Blankenship</t>
  </si>
  <si>
    <t>Erin E</t>
  </si>
  <si>
    <t>Chaudhuri</t>
  </si>
  <si>
    <t>Sanjay</t>
  </si>
  <si>
    <t>Assoc Professor</t>
  </si>
  <si>
    <t>8/14/2023</t>
  </si>
  <si>
    <t>Clarke</t>
  </si>
  <si>
    <t>Bertrand S</t>
  </si>
  <si>
    <t>Returned to faculty position</t>
  </si>
  <si>
    <t>Eskridge</t>
  </si>
  <si>
    <t>Kent M</t>
  </si>
  <si>
    <t>Unsigned</t>
  </si>
  <si>
    <t>Ghosh</t>
  </si>
  <si>
    <t>Souparno</t>
  </si>
  <si>
    <t>Hofmann</t>
  </si>
  <si>
    <t>Heike</t>
  </si>
  <si>
    <t xml:space="preserve">Updated </t>
  </si>
  <si>
    <t>Mukhopadhyay</t>
  </si>
  <si>
    <t>Indranil</t>
  </si>
  <si>
    <t>Rickels</t>
  </si>
  <si>
    <t>Reka</t>
  </si>
  <si>
    <t>8/15/2016</t>
  </si>
  <si>
    <t>New last name</t>
  </si>
  <si>
    <t>Rogers</t>
  </si>
  <si>
    <t>Rachel</t>
  </si>
  <si>
    <t>203448</t>
  </si>
  <si>
    <t>Post Doc</t>
  </si>
  <si>
    <t>Post-Doc Rsch Assoc</t>
  </si>
  <si>
    <t>5/15/2024</t>
  </si>
  <si>
    <t>az</t>
  </si>
  <si>
    <t>Shi</t>
  </si>
  <si>
    <t>Xueheng</t>
  </si>
  <si>
    <t>Asst Professor</t>
  </si>
  <si>
    <t>VanderPlas</t>
  </si>
  <si>
    <t>Susan R</t>
  </si>
  <si>
    <t>Vimalajeewa</t>
  </si>
  <si>
    <t>Horahenage Dixon</t>
  </si>
  <si>
    <t>Retired</t>
  </si>
  <si>
    <t>Stanke</t>
  </si>
  <si>
    <t>Kim</t>
  </si>
  <si>
    <t>Extension</t>
  </si>
  <si>
    <t>Ext Asst Professor</t>
  </si>
  <si>
    <t>4-H Youth Development</t>
  </si>
  <si>
    <t>On the Ext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</si>
</sst>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1" fontId="1" fillId="0" borderId="0" xfId="0" applyNumberFormat="1" applyFont="1"/>
    <xf numFmtId="16" fontId="0" fillId="0" borderId="0" xfId="0" applyNumberFormat="1"/>
    <xf numFmtId="0" fontId="5" fillId="0" borderId="0" xfId="0" applyFont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sia Zaruba" id="{DCB1E21B-D5AE-4504-A3B8-4620DC013E16}" userId="S::azaruba2@unl.edu::153764cb-4303-48ba-90c0-33a7ec7f8c1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3-10-25T21:13:25.84" personId="{DCB1E21B-D5AE-4504-A3B8-4620DC013E16}" id="{16E2B1D8-1FC7-42C7-B4CA-121AB68EF562}">
    <text>New job?  Is appt right?</text>
  </threadedComment>
  <threadedComment ref="A21" dT="2023-12-06T21:47:25.55" personId="{DCB1E21B-D5AE-4504-A3B8-4620DC013E16}" id="{5A4F72B5-50E4-42E6-87D1-122F1C17C57F}">
    <text xml:space="preserve">She has split appoint with 4-h and stats...she is listed on the Ext page, but Bert feels she should be listed here…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0529-4E75-468D-A2B6-66ABB9F7CED1}">
  <sheetPr filterMode="1"/>
  <dimension ref="A1:AC23"/>
  <sheetViews>
    <sheetView tabSelected="1" zoomScale="90" zoomScaleNormal="90" workbookViewId="0">
      <selection activeCell="E27" sqref="E27"/>
    </sheetView>
  </sheetViews>
  <sheetFormatPr defaultRowHeight="14.4" x14ac:dyDescent="0.3"/>
  <cols>
    <col min="1" max="1" width="18.6640625" customWidth="1"/>
    <col min="2" max="2" width="19.6640625" customWidth="1"/>
    <col min="3" max="3" width="8.6640625" hidden="1" customWidth="1"/>
    <col min="4" max="4" width="20" bestFit="1" customWidth="1"/>
    <col min="5" max="5" width="20.6640625" customWidth="1"/>
    <col min="6" max="6" width="9" customWidth="1"/>
    <col min="7" max="7" width="13" customWidth="1"/>
    <col min="8" max="8" width="6" customWidth="1"/>
    <col min="9" max="9" width="11.5546875" bestFit="1" customWidth="1"/>
    <col min="10" max="10" width="7" customWidth="1"/>
    <col min="11" max="16" width="6.44140625" customWidth="1"/>
    <col min="17" max="17" width="17" customWidth="1"/>
    <col min="18" max="18" width="3.6640625" customWidth="1"/>
    <col min="19" max="26" width="6.44140625" customWidth="1"/>
    <col min="27" max="27" width="24.88671875" bestFit="1" customWidth="1"/>
    <col min="28" max="28" width="14.33203125" customWidth="1"/>
    <col min="29" max="29" width="5.88671875" customWidth="1"/>
  </cols>
  <sheetData>
    <row r="1" spans="1:29" x14ac:dyDescent="0.3">
      <c r="A1" s="1" t="s">
        <v>0</v>
      </c>
      <c r="B1" s="2" t="s">
        <v>1</v>
      </c>
      <c r="I1" s="3" t="s">
        <v>2</v>
      </c>
      <c r="J1" s="3"/>
      <c r="K1" s="3"/>
      <c r="L1" s="3"/>
      <c r="M1" s="3"/>
      <c r="N1" s="3"/>
      <c r="O1" s="3"/>
      <c r="P1" s="3"/>
      <c r="Q1" s="3"/>
      <c r="S1" s="4" t="s">
        <v>3</v>
      </c>
      <c r="T1" s="4"/>
      <c r="U1" s="4"/>
      <c r="V1" s="4"/>
      <c r="W1" s="4"/>
      <c r="X1" s="4"/>
      <c r="Y1" s="4"/>
      <c r="Z1" s="4"/>
      <c r="AA1" s="4"/>
    </row>
    <row r="2" spans="1:29" s="8" customFormat="1" ht="43.2" x14ac:dyDescent="0.3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5" t="s">
        <v>20</v>
      </c>
      <c r="R2" s="5"/>
      <c r="S2" s="5" t="s">
        <v>21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7" t="s">
        <v>22</v>
      </c>
      <c r="AA2" s="5" t="s">
        <v>23</v>
      </c>
      <c r="AB2" s="5" t="s">
        <v>24</v>
      </c>
      <c r="AC2" s="5" t="s">
        <v>25</v>
      </c>
    </row>
    <row r="3" spans="1:29" hidden="1" x14ac:dyDescent="0.3">
      <c r="A3" t="s">
        <v>26</v>
      </c>
      <c r="B3" t="s">
        <v>27</v>
      </c>
      <c r="C3" s="9" t="s">
        <v>28</v>
      </c>
      <c r="D3" t="s">
        <v>29</v>
      </c>
      <c r="E3" t="s">
        <v>30</v>
      </c>
      <c r="F3" t="s">
        <v>31</v>
      </c>
      <c r="G3" s="10" t="s">
        <v>32</v>
      </c>
      <c r="H3">
        <v>1</v>
      </c>
      <c r="I3" s="11">
        <v>45418</v>
      </c>
      <c r="J3" t="s">
        <v>33</v>
      </c>
      <c r="K3" s="12"/>
      <c r="L3" s="12"/>
      <c r="M3" s="12"/>
      <c r="N3" s="12"/>
      <c r="O3" s="12">
        <v>100</v>
      </c>
      <c r="P3" s="12">
        <f t="shared" ref="P3:P16" si="0">SUM(K3:O3)</f>
        <v>100</v>
      </c>
      <c r="Q3" s="13"/>
      <c r="S3">
        <v>1</v>
      </c>
      <c r="T3" s="12"/>
      <c r="U3" s="12"/>
      <c r="V3" s="12"/>
      <c r="W3" s="12"/>
      <c r="X3" s="12">
        <v>100</v>
      </c>
      <c r="Y3" s="12">
        <f t="shared" ref="Y3:Y9" si="1">SUM(T3:X3)</f>
        <v>100</v>
      </c>
      <c r="Z3" s="12" t="s">
        <v>34</v>
      </c>
      <c r="AB3" s="11">
        <v>45609</v>
      </c>
      <c r="AC3" t="s">
        <v>35</v>
      </c>
    </row>
    <row r="4" spans="1:29" x14ac:dyDescent="0.3">
      <c r="A4" t="s">
        <v>36</v>
      </c>
      <c r="B4" t="s">
        <v>37</v>
      </c>
      <c r="C4">
        <v>70904</v>
      </c>
      <c r="D4" t="s">
        <v>29</v>
      </c>
      <c r="E4" t="s">
        <v>38</v>
      </c>
      <c r="F4" t="s">
        <v>39</v>
      </c>
      <c r="G4" s="10">
        <v>37851</v>
      </c>
      <c r="H4">
        <v>1</v>
      </c>
      <c r="I4" s="11">
        <v>43294</v>
      </c>
      <c r="J4" t="s">
        <v>40</v>
      </c>
      <c r="K4" s="12">
        <v>50</v>
      </c>
      <c r="L4" s="12">
        <v>50</v>
      </c>
      <c r="M4" s="12"/>
      <c r="N4" s="12"/>
      <c r="O4" s="12"/>
      <c r="P4" s="12">
        <f t="shared" si="0"/>
        <v>100</v>
      </c>
      <c r="Q4" s="13"/>
      <c r="S4">
        <v>1</v>
      </c>
      <c r="T4" s="12">
        <v>50</v>
      </c>
      <c r="U4" s="12">
        <v>50</v>
      </c>
      <c r="V4" s="12"/>
      <c r="W4" s="12"/>
      <c r="X4" s="12"/>
      <c r="Y4" s="12">
        <f t="shared" si="1"/>
        <v>100</v>
      </c>
      <c r="Z4" s="12" t="s">
        <v>34</v>
      </c>
      <c r="AB4" s="11">
        <v>45609</v>
      </c>
      <c r="AC4" t="s">
        <v>35</v>
      </c>
    </row>
    <row r="5" spans="1:29" x14ac:dyDescent="0.3">
      <c r="A5" t="s">
        <v>41</v>
      </c>
      <c r="B5" t="s">
        <v>42</v>
      </c>
      <c r="C5">
        <v>23646</v>
      </c>
      <c r="D5" t="s">
        <v>29</v>
      </c>
      <c r="E5" t="s">
        <v>38</v>
      </c>
      <c r="F5" t="s">
        <v>39</v>
      </c>
      <c r="G5" s="10">
        <v>36342</v>
      </c>
      <c r="H5">
        <v>1</v>
      </c>
      <c r="I5" s="11">
        <v>37361</v>
      </c>
      <c r="J5" t="s">
        <v>40</v>
      </c>
      <c r="K5" s="12">
        <v>45</v>
      </c>
      <c r="L5" s="12">
        <v>55</v>
      </c>
      <c r="M5" s="12"/>
      <c r="N5" s="12"/>
      <c r="O5" s="12"/>
      <c r="P5" s="12">
        <f t="shared" si="0"/>
        <v>100</v>
      </c>
      <c r="Q5" s="13"/>
      <c r="S5">
        <v>1</v>
      </c>
      <c r="T5" s="12">
        <v>45</v>
      </c>
      <c r="U5" s="12">
        <v>55</v>
      </c>
      <c r="V5" s="12"/>
      <c r="W5" s="12"/>
      <c r="X5" s="12"/>
      <c r="Y5" s="12">
        <f t="shared" si="1"/>
        <v>100</v>
      </c>
      <c r="Z5" s="12" t="s">
        <v>34</v>
      </c>
      <c r="AB5" s="11">
        <v>45609</v>
      </c>
      <c r="AC5" t="s">
        <v>35</v>
      </c>
    </row>
    <row r="6" spans="1:29" x14ac:dyDescent="0.3">
      <c r="A6" s="14" t="s">
        <v>43</v>
      </c>
      <c r="B6" s="14" t="s">
        <v>44</v>
      </c>
      <c r="C6" s="15">
        <v>232471</v>
      </c>
      <c r="D6" t="s">
        <v>29</v>
      </c>
      <c r="E6" s="14" t="s">
        <v>45</v>
      </c>
      <c r="F6" t="s">
        <v>39</v>
      </c>
      <c r="G6" s="16" t="s">
        <v>46</v>
      </c>
      <c r="H6">
        <v>1</v>
      </c>
      <c r="I6" s="11">
        <v>44901</v>
      </c>
      <c r="J6" t="s">
        <v>40</v>
      </c>
      <c r="K6" s="12">
        <v>50</v>
      </c>
      <c r="L6" s="12">
        <v>50</v>
      </c>
      <c r="M6" s="12"/>
      <c r="N6" s="12"/>
      <c r="O6" s="12"/>
      <c r="P6" s="12">
        <f t="shared" si="0"/>
        <v>100</v>
      </c>
      <c r="Q6" s="13"/>
      <c r="S6">
        <v>1</v>
      </c>
      <c r="T6" s="12">
        <v>50</v>
      </c>
      <c r="U6" s="12">
        <v>50</v>
      </c>
      <c r="V6" s="12"/>
      <c r="W6" s="12"/>
      <c r="X6" s="12"/>
      <c r="Y6" s="12">
        <f t="shared" si="1"/>
        <v>100</v>
      </c>
      <c r="Z6" s="12" t="s">
        <v>34</v>
      </c>
      <c r="AB6" s="11">
        <v>45609</v>
      </c>
      <c r="AC6" t="s">
        <v>35</v>
      </c>
    </row>
    <row r="7" spans="1:29" x14ac:dyDescent="0.3">
      <c r="A7" t="s">
        <v>47</v>
      </c>
      <c r="B7" t="s">
        <v>48</v>
      </c>
      <c r="C7">
        <v>145799</v>
      </c>
      <c r="D7" t="s">
        <v>29</v>
      </c>
      <c r="E7" s="2" t="s">
        <v>38</v>
      </c>
      <c r="F7" t="s">
        <v>39</v>
      </c>
      <c r="G7" s="17">
        <v>45474</v>
      </c>
      <c r="H7">
        <v>1</v>
      </c>
      <c r="I7" s="18">
        <v>43665</v>
      </c>
      <c r="J7" t="s">
        <v>33</v>
      </c>
      <c r="K7" s="19">
        <v>30</v>
      </c>
      <c r="L7" s="19">
        <v>70</v>
      </c>
      <c r="M7" s="19"/>
      <c r="N7" s="19"/>
      <c r="O7" s="19">
        <v>0</v>
      </c>
      <c r="P7" s="12">
        <f t="shared" si="0"/>
        <v>100</v>
      </c>
      <c r="Q7" s="2" t="s">
        <v>49</v>
      </c>
      <c r="S7">
        <v>1</v>
      </c>
      <c r="T7" s="12">
        <v>30</v>
      </c>
      <c r="U7" s="12">
        <v>70</v>
      </c>
      <c r="V7" s="12"/>
      <c r="W7" s="12"/>
      <c r="X7" s="12"/>
      <c r="Y7" s="12">
        <f t="shared" si="1"/>
        <v>100</v>
      </c>
      <c r="Z7" s="12" t="s">
        <v>34</v>
      </c>
      <c r="AB7" s="11">
        <v>45609</v>
      </c>
      <c r="AC7" t="s">
        <v>35</v>
      </c>
    </row>
    <row r="8" spans="1:29" x14ac:dyDescent="0.3">
      <c r="A8" t="s">
        <v>50</v>
      </c>
      <c r="B8" t="s">
        <v>51</v>
      </c>
      <c r="C8">
        <v>23662</v>
      </c>
      <c r="D8" t="s">
        <v>29</v>
      </c>
      <c r="E8" t="s">
        <v>38</v>
      </c>
      <c r="F8" t="s">
        <v>39</v>
      </c>
      <c r="G8" s="10">
        <v>35612</v>
      </c>
      <c r="H8">
        <v>1</v>
      </c>
      <c r="I8" s="11">
        <v>33604</v>
      </c>
      <c r="J8" t="s">
        <v>40</v>
      </c>
      <c r="K8" s="12">
        <v>40</v>
      </c>
      <c r="L8" s="12">
        <v>60</v>
      </c>
      <c r="M8" s="12"/>
      <c r="N8" s="12"/>
      <c r="O8" s="12"/>
      <c r="P8" s="12">
        <f t="shared" si="0"/>
        <v>100</v>
      </c>
      <c r="Q8" s="13" t="s">
        <v>52</v>
      </c>
      <c r="S8">
        <v>1</v>
      </c>
      <c r="T8" s="12">
        <v>40</v>
      </c>
      <c r="U8" s="12">
        <v>60</v>
      </c>
      <c r="V8" s="12"/>
      <c r="W8" s="12"/>
      <c r="X8" s="12"/>
      <c r="Y8" s="12">
        <f t="shared" si="1"/>
        <v>100</v>
      </c>
      <c r="Z8" s="12" t="s">
        <v>34</v>
      </c>
      <c r="AB8" s="11">
        <v>45609</v>
      </c>
      <c r="AC8" t="s">
        <v>35</v>
      </c>
    </row>
    <row r="9" spans="1:29" x14ac:dyDescent="0.3">
      <c r="A9" t="s">
        <v>53</v>
      </c>
      <c r="B9" t="s">
        <v>54</v>
      </c>
      <c r="C9">
        <v>202700</v>
      </c>
      <c r="D9" t="s">
        <v>29</v>
      </c>
      <c r="E9" t="s">
        <v>45</v>
      </c>
      <c r="F9" t="s">
        <v>39</v>
      </c>
      <c r="G9" s="10">
        <v>43696</v>
      </c>
      <c r="H9">
        <v>1</v>
      </c>
      <c r="I9" s="11">
        <v>43676</v>
      </c>
      <c r="J9" t="s">
        <v>40</v>
      </c>
      <c r="K9" s="12">
        <v>50</v>
      </c>
      <c r="L9" s="12">
        <v>50</v>
      </c>
      <c r="M9" s="12"/>
      <c r="N9" s="12"/>
      <c r="O9" s="12"/>
      <c r="P9" s="12">
        <f t="shared" si="0"/>
        <v>100</v>
      </c>
      <c r="Q9" s="13"/>
      <c r="S9">
        <v>1</v>
      </c>
      <c r="T9" s="12">
        <v>50</v>
      </c>
      <c r="U9" s="12">
        <v>50</v>
      </c>
      <c r="V9" s="12"/>
      <c r="W9" s="12"/>
      <c r="X9" s="12"/>
      <c r="Y9" s="12">
        <f t="shared" si="1"/>
        <v>100</v>
      </c>
      <c r="Z9" s="12" t="s">
        <v>34</v>
      </c>
      <c r="AB9" s="11">
        <v>45609</v>
      </c>
      <c r="AC9" t="s">
        <v>35</v>
      </c>
    </row>
    <row r="10" spans="1:29" x14ac:dyDescent="0.3">
      <c r="A10" t="s">
        <v>55</v>
      </c>
      <c r="B10" t="s">
        <v>56</v>
      </c>
      <c r="C10" s="2">
        <v>243976</v>
      </c>
      <c r="D10" s="2" t="s">
        <v>29</v>
      </c>
      <c r="E10" s="2" t="s">
        <v>38</v>
      </c>
      <c r="F10" s="2" t="s">
        <v>39</v>
      </c>
      <c r="G10" s="17">
        <v>45523</v>
      </c>
      <c r="H10" s="2">
        <v>1</v>
      </c>
      <c r="I10" s="18">
        <v>45455</v>
      </c>
      <c r="J10" s="2" t="s">
        <v>33</v>
      </c>
      <c r="K10" s="19">
        <v>50</v>
      </c>
      <c r="L10" s="19">
        <v>50</v>
      </c>
      <c r="M10" s="2"/>
      <c r="N10" s="2"/>
      <c r="O10" s="2"/>
      <c r="P10" s="19">
        <f t="shared" si="0"/>
        <v>100</v>
      </c>
      <c r="Q10" s="2" t="s">
        <v>57</v>
      </c>
      <c r="R10" s="2"/>
      <c r="S10" s="2">
        <v>1</v>
      </c>
      <c r="T10">
        <v>50</v>
      </c>
      <c r="U10">
        <v>50</v>
      </c>
      <c r="Y10">
        <v>100</v>
      </c>
      <c r="Z10" t="s">
        <v>34</v>
      </c>
      <c r="AB10" s="20">
        <v>45609</v>
      </c>
      <c r="AC10" t="s">
        <v>35</v>
      </c>
    </row>
    <row r="11" spans="1:29" s="1" customFormat="1" x14ac:dyDescent="0.3">
      <c r="A11" t="s">
        <v>58</v>
      </c>
      <c r="B11" t="s">
        <v>59</v>
      </c>
      <c r="C11" s="2">
        <v>241521</v>
      </c>
      <c r="D11" s="2" t="s">
        <v>29</v>
      </c>
      <c r="E11" s="2" t="s">
        <v>38</v>
      </c>
      <c r="F11" s="2" t="s">
        <v>39</v>
      </c>
      <c r="G11" s="17">
        <v>45355</v>
      </c>
      <c r="H11" s="2">
        <v>1</v>
      </c>
      <c r="I11" s="18">
        <v>45134</v>
      </c>
      <c r="J11" s="2" t="s">
        <v>33</v>
      </c>
      <c r="K11" s="2">
        <v>50</v>
      </c>
      <c r="L11" s="2">
        <v>50</v>
      </c>
      <c r="M11" s="2"/>
      <c r="N11" s="2"/>
      <c r="O11" s="2"/>
      <c r="P11" s="2">
        <f t="shared" si="0"/>
        <v>100</v>
      </c>
      <c r="Q11" s="2" t="s">
        <v>57</v>
      </c>
      <c r="R11"/>
      <c r="S11">
        <v>1</v>
      </c>
      <c r="T11">
        <v>50</v>
      </c>
      <c r="U11">
        <v>50</v>
      </c>
      <c r="V11"/>
      <c r="W11"/>
      <c r="X11"/>
      <c r="Y11">
        <v>100</v>
      </c>
      <c r="Z11" t="s">
        <v>34</v>
      </c>
      <c r="AA11"/>
      <c r="AB11" s="20">
        <v>45609</v>
      </c>
      <c r="AC11" t="s">
        <v>35</v>
      </c>
    </row>
    <row r="12" spans="1:29" x14ac:dyDescent="0.3">
      <c r="A12" s="14" t="s">
        <v>60</v>
      </c>
      <c r="B12" s="14" t="s">
        <v>61</v>
      </c>
      <c r="C12" s="15">
        <v>173272</v>
      </c>
      <c r="D12" t="s">
        <v>29</v>
      </c>
      <c r="E12" t="s">
        <v>45</v>
      </c>
      <c r="F12" t="s">
        <v>39</v>
      </c>
      <c r="G12" s="16" t="s">
        <v>62</v>
      </c>
      <c r="H12">
        <v>1</v>
      </c>
      <c r="I12" s="11">
        <v>42473</v>
      </c>
      <c r="J12" t="s">
        <v>40</v>
      </c>
      <c r="K12" s="12">
        <v>40</v>
      </c>
      <c r="L12" s="12">
        <v>60</v>
      </c>
      <c r="M12" s="12"/>
      <c r="N12" s="12"/>
      <c r="O12" s="12"/>
      <c r="P12" s="12">
        <f t="shared" si="0"/>
        <v>100</v>
      </c>
      <c r="Q12" s="13" t="s">
        <v>63</v>
      </c>
      <c r="S12">
        <v>1</v>
      </c>
      <c r="T12" s="12">
        <v>40</v>
      </c>
      <c r="U12" s="12">
        <v>60</v>
      </c>
      <c r="V12" s="12"/>
      <c r="W12" s="12"/>
      <c r="X12" s="12"/>
      <c r="Y12" s="12">
        <f>SUM(T12:X12)</f>
        <v>100</v>
      </c>
      <c r="Z12" s="12" t="s">
        <v>34</v>
      </c>
      <c r="AB12" s="11">
        <v>45609</v>
      </c>
      <c r="AC12" t="s">
        <v>35</v>
      </c>
    </row>
    <row r="13" spans="1:29" hidden="1" x14ac:dyDescent="0.3">
      <c r="A13" t="s">
        <v>64</v>
      </c>
      <c r="B13" t="s">
        <v>65</v>
      </c>
      <c r="C13" s="9" t="s">
        <v>66</v>
      </c>
      <c r="D13" t="s">
        <v>67</v>
      </c>
      <c r="E13" t="s">
        <v>68</v>
      </c>
      <c r="F13" t="s">
        <v>31</v>
      </c>
      <c r="G13" s="10" t="s">
        <v>69</v>
      </c>
      <c r="H13">
        <v>1</v>
      </c>
      <c r="I13" s="11">
        <v>45350</v>
      </c>
      <c r="J13" t="s">
        <v>33</v>
      </c>
      <c r="K13" s="12"/>
      <c r="L13" s="12">
        <v>100</v>
      </c>
      <c r="M13" s="12"/>
      <c r="N13" s="12"/>
      <c r="O13" s="12"/>
      <c r="P13" s="12">
        <f t="shared" si="0"/>
        <v>100</v>
      </c>
      <c r="Q13" s="13"/>
      <c r="S13">
        <v>1</v>
      </c>
      <c r="T13" s="12"/>
      <c r="U13" s="12">
        <v>100</v>
      </c>
      <c r="V13" s="12"/>
      <c r="W13" s="12"/>
      <c r="X13" s="12"/>
      <c r="Y13" s="12">
        <f>SUM(T13:X13)</f>
        <v>100</v>
      </c>
      <c r="Z13" s="12" t="s">
        <v>34</v>
      </c>
      <c r="AB13" s="11">
        <v>45628</v>
      </c>
      <c r="AC13" t="s">
        <v>70</v>
      </c>
    </row>
    <row r="14" spans="1:29" x14ac:dyDescent="0.3">
      <c r="A14" t="s">
        <v>71</v>
      </c>
      <c r="B14" t="s">
        <v>72</v>
      </c>
      <c r="C14">
        <v>226632</v>
      </c>
      <c r="D14" t="s">
        <v>29</v>
      </c>
      <c r="E14" t="s">
        <v>73</v>
      </c>
      <c r="F14" t="s">
        <v>39</v>
      </c>
      <c r="G14" s="11">
        <v>44788</v>
      </c>
      <c r="H14">
        <v>1</v>
      </c>
      <c r="I14" s="11">
        <v>44735</v>
      </c>
      <c r="J14" t="s">
        <v>40</v>
      </c>
      <c r="K14" s="12">
        <v>45</v>
      </c>
      <c r="L14" s="12">
        <v>55</v>
      </c>
      <c r="M14" s="12"/>
      <c r="N14" s="12"/>
      <c r="O14" s="12"/>
      <c r="P14" s="12">
        <f t="shared" si="0"/>
        <v>100</v>
      </c>
      <c r="Q14" s="13"/>
      <c r="S14">
        <v>1</v>
      </c>
      <c r="T14" s="12">
        <v>45</v>
      </c>
      <c r="U14" s="12">
        <v>55</v>
      </c>
      <c r="V14" s="12"/>
      <c r="W14" s="12"/>
      <c r="X14" s="12"/>
      <c r="Y14" s="12">
        <f>SUM(T14:X14)</f>
        <v>100</v>
      </c>
      <c r="Z14" s="12" t="s">
        <v>34</v>
      </c>
      <c r="AB14" s="11">
        <v>45609</v>
      </c>
      <c r="AC14" t="s">
        <v>35</v>
      </c>
    </row>
    <row r="15" spans="1:29" x14ac:dyDescent="0.3">
      <c r="A15" t="s">
        <v>74</v>
      </c>
      <c r="B15" t="s">
        <v>75</v>
      </c>
      <c r="C15">
        <v>103252</v>
      </c>
      <c r="D15" t="s">
        <v>29</v>
      </c>
      <c r="E15" t="s">
        <v>45</v>
      </c>
      <c r="F15" t="s">
        <v>39</v>
      </c>
      <c r="G15" s="11">
        <v>43831</v>
      </c>
      <c r="H15">
        <v>1</v>
      </c>
      <c r="I15" s="11">
        <v>43665</v>
      </c>
      <c r="J15" t="s">
        <v>40</v>
      </c>
      <c r="K15" s="12">
        <v>40</v>
      </c>
      <c r="L15" s="12">
        <v>40</v>
      </c>
      <c r="M15" s="12">
        <v>20</v>
      </c>
      <c r="N15" s="12"/>
      <c r="O15" s="12"/>
      <c r="P15" s="12">
        <f t="shared" si="0"/>
        <v>100</v>
      </c>
      <c r="Q15" s="13"/>
      <c r="S15">
        <v>1</v>
      </c>
      <c r="T15" s="12">
        <v>40</v>
      </c>
      <c r="U15" s="12">
        <v>40</v>
      </c>
      <c r="V15" s="12">
        <v>20</v>
      </c>
      <c r="W15" s="12"/>
      <c r="X15" s="12"/>
      <c r="Y15" s="12">
        <f>SUM(T15:X15)</f>
        <v>100</v>
      </c>
      <c r="Z15" s="12" t="s">
        <v>34</v>
      </c>
      <c r="AB15" s="11">
        <v>45609</v>
      </c>
      <c r="AC15" t="s">
        <v>35</v>
      </c>
    </row>
    <row r="16" spans="1:29" x14ac:dyDescent="0.3">
      <c r="A16" s="14" t="s">
        <v>76</v>
      </c>
      <c r="B16" s="14" t="s">
        <v>77</v>
      </c>
      <c r="C16" s="15">
        <v>236234</v>
      </c>
      <c r="D16" t="s">
        <v>29</v>
      </c>
      <c r="E16" s="14" t="s">
        <v>73</v>
      </c>
      <c r="F16" t="s">
        <v>39</v>
      </c>
      <c r="G16" s="16" t="s">
        <v>46</v>
      </c>
      <c r="H16">
        <v>1</v>
      </c>
      <c r="I16" s="11">
        <v>45083</v>
      </c>
      <c r="J16" t="s">
        <v>33</v>
      </c>
      <c r="K16" s="12">
        <v>50</v>
      </c>
      <c r="L16" s="12">
        <v>50</v>
      </c>
      <c r="M16" s="12"/>
      <c r="N16" s="12"/>
      <c r="O16" s="12"/>
      <c r="P16" s="12">
        <f t="shared" si="0"/>
        <v>100</v>
      </c>
      <c r="Q16" s="13"/>
      <c r="S16">
        <v>1</v>
      </c>
      <c r="T16" s="12">
        <v>50</v>
      </c>
      <c r="U16" s="12">
        <v>50</v>
      </c>
      <c r="V16" s="12"/>
      <c r="W16" s="12"/>
      <c r="X16" s="12"/>
      <c r="Y16" s="12">
        <f>SUM(T16:X16)</f>
        <v>100</v>
      </c>
      <c r="Z16" s="12" t="s">
        <v>34</v>
      </c>
      <c r="AB16" s="11">
        <v>45609</v>
      </c>
      <c r="AC16" t="s">
        <v>35</v>
      </c>
    </row>
    <row r="17" spans="1:28" s="2" customFormat="1" x14ac:dyDescent="0.3">
      <c r="G17" s="18"/>
    </row>
    <row r="19" spans="1:28" x14ac:dyDescent="0.3">
      <c r="A19" s="21" t="s">
        <v>78</v>
      </c>
    </row>
    <row r="20" spans="1:28" x14ac:dyDescent="0.3">
      <c r="G20" s="11"/>
      <c r="I20" s="11"/>
      <c r="K20" s="12"/>
      <c r="L20" s="12"/>
      <c r="M20" s="12"/>
      <c r="N20" s="12"/>
      <c r="O20" s="12"/>
      <c r="P20" s="12"/>
      <c r="Q20" s="13"/>
      <c r="T20" s="12"/>
      <c r="U20" s="12"/>
      <c r="V20" s="12"/>
      <c r="W20" s="12"/>
      <c r="X20" s="12"/>
      <c r="Y20" s="12"/>
      <c r="Z20" s="12"/>
      <c r="AB20" s="11"/>
    </row>
    <row r="21" spans="1:28" s="2" customFormat="1" x14ac:dyDescent="0.3">
      <c r="A21" s="2" t="s">
        <v>79</v>
      </c>
      <c r="B21" s="2" t="s">
        <v>80</v>
      </c>
      <c r="D21" s="2" t="s">
        <v>81</v>
      </c>
      <c r="E21" s="2" t="s">
        <v>82</v>
      </c>
      <c r="F21" s="2" t="s">
        <v>83</v>
      </c>
      <c r="J21" s="2" t="s">
        <v>84</v>
      </c>
      <c r="K21" s="19"/>
    </row>
    <row r="22" spans="1:28" x14ac:dyDescent="0.3">
      <c r="G22" s="11"/>
      <c r="I22" s="11"/>
      <c r="K22" s="12"/>
      <c r="L22" s="12"/>
      <c r="M22" s="12"/>
      <c r="N22" s="12"/>
      <c r="O22" s="12"/>
      <c r="P22" s="12"/>
      <c r="Q22" s="13"/>
      <c r="T22" s="12"/>
      <c r="U22" s="12"/>
      <c r="V22" s="12"/>
      <c r="W22" s="12"/>
      <c r="X22" s="12"/>
      <c r="Y22" s="12"/>
      <c r="Z22" s="12"/>
      <c r="AB22" s="11"/>
    </row>
    <row r="23" spans="1:28" s="2" customFormat="1" x14ac:dyDescent="0.3">
      <c r="G23" s="18"/>
      <c r="I23" s="18"/>
    </row>
  </sheetData>
  <autoFilter ref="S2:AC16" xr:uid="{7C0384D8-DE6F-4D1F-B1E9-ED2469366217}">
    <filterColumn colId="1">
      <customFilters>
        <customFilter operator="notEqual" val=" "/>
      </customFilters>
    </filterColumn>
  </autoFilter>
  <mergeCells count="2">
    <mergeCell ref="I1:Q1"/>
    <mergeCell ref="S1:AA1"/>
  </mergeCells>
  <conditionalFormatting sqref="Y3:Y14 P3:P15 P20:P22 Y20:Y22">
    <cfRule type="cellIs" dxfId="1" priority="2" operator="notEqual">
      <formula>100</formula>
    </cfRule>
  </conditionalFormatting>
  <conditionalFormatting sqref="Z3:Z14 Z20:Z22">
    <cfRule type="cellIs" dxfId="0" priority="1" operator="notEqual">
      <formula>"x"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STATSemplAppts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Alesia Zaruba</dc:creator>
  <cp:lastModifiedBy>Alesia Zaruba</cp:lastModifiedBy>
  <dcterms:created xsi:type="dcterms:W3CDTF">2025-09-29T20:42:58Z</dcterms:created>
  <dcterms:modified xsi:type="dcterms:W3CDTF">2025-09-29T20:43:07Z</dcterms:modified>
</cp:coreProperties>
</file>